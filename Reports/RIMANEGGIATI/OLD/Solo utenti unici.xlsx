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3\Reports\RIMANEGGIATI\"/>
    </mc:Choice>
  </mc:AlternateContent>
  <xr:revisionPtr revIDLastSave="0" documentId="13_ncr:1_{52162F3C-47AF-4B8C-B1B2-AA969229695F}" xr6:coauthVersionLast="47" xr6:coauthVersionMax="47" xr10:uidLastSave="{00000000-0000-0000-0000-000000000000}"/>
  <bookViews>
    <workbookView xWindow="-110" yWindow="-110" windowWidth="38620" windowHeight="21100" xr2:uid="{F8F156A3-203A-468D-9AFD-0E116DB5351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14" i="1"/>
  <c r="E23" i="1"/>
  <c r="E33" i="1"/>
  <c r="E32" i="1"/>
  <c r="E50" i="1"/>
  <c r="E48" i="1"/>
  <c r="E54" i="1"/>
  <c r="E55" i="1"/>
  <c r="E38" i="1"/>
  <c r="E24" i="1"/>
  <c r="E31" i="1"/>
  <c r="E28" i="1"/>
  <c r="E27" i="1"/>
  <c r="E17" i="1"/>
  <c r="E25" i="1"/>
  <c r="E16" i="1"/>
  <c r="E22" i="1"/>
  <c r="E37" i="1"/>
  <c r="E18" i="1"/>
  <c r="E19" i="1"/>
  <c r="E20" i="1"/>
  <c r="E21" i="1"/>
  <c r="E26" i="1"/>
  <c r="E56" i="1"/>
  <c r="E36" i="1"/>
  <c r="E29" i="1"/>
  <c r="E30" i="1"/>
  <c r="E34" i="1"/>
  <c r="E35" i="1"/>
  <c r="E39" i="1"/>
  <c r="E15" i="1"/>
  <c r="E13" i="1"/>
  <c r="E51" i="1"/>
  <c r="E49" i="1"/>
  <c r="E52" i="1"/>
  <c r="E53" i="1"/>
  <c r="E12" i="1"/>
  <c r="E9" i="1"/>
  <c r="E8" i="1"/>
  <c r="E6" i="1"/>
  <c r="E46" i="1"/>
  <c r="E40" i="1"/>
  <c r="E57" i="1"/>
  <c r="E41" i="1"/>
  <c r="E45" i="1"/>
  <c r="E11" i="1"/>
  <c r="E47" i="1"/>
  <c r="E3" i="1"/>
  <c r="E42" i="1"/>
  <c r="E43" i="1"/>
  <c r="E58" i="1"/>
  <c r="E10" i="1"/>
  <c r="E7" i="1"/>
  <c r="E59" i="1"/>
  <c r="E4" i="1"/>
  <c r="E5" i="1"/>
  <c r="E44" i="1"/>
</calcChain>
</file>

<file path=xl/sharedStrings.xml><?xml version="1.0" encoding="utf-8"?>
<sst xmlns="http://schemas.openxmlformats.org/spreadsheetml/2006/main" count="226" uniqueCount="166">
  <si>
    <t>Indirizzo IP</t>
  </si>
  <si>
    <t>Nome DNS</t>
  </si>
  <si>
    <t>Utente</t>
  </si>
  <si>
    <t>10.64.2.169</t>
  </si>
  <si>
    <t>lpolaban002169.ausl6.it</t>
  </si>
  <si>
    <t>adminSiemens</t>
  </si>
  <si>
    <t>10.64.3.126</t>
  </si>
  <si>
    <t>lficuptel001.ausl6.it</t>
  </si>
  <si>
    <t>Utenti_TPM</t>
  </si>
  <si>
    <t>10.64.8.1</t>
  </si>
  <si>
    <t>lpofissani04.ausl6.it</t>
  </si>
  <si>
    <t>sdeltredici</t>
  </si>
  <si>
    <t>10.64.8.7</t>
  </si>
  <si>
    <t>lpofissani08.ausl6.it</t>
  </si>
  <si>
    <t>stumbo</t>
  </si>
  <si>
    <t>10.64.9.21</t>
  </si>
  <si>
    <t>cpolaban009021.ausl6.it</t>
  </si>
  <si>
    <t>fdlmvt96l63h501v</t>
  </si>
  <si>
    <t>10.64.9.45</t>
  </si>
  <si>
    <t>cporadio009045.ausl6.it</t>
  </si>
  <si>
    <t>debor</t>
  </si>
  <si>
    <t>10.64.9.134</t>
  </si>
  <si>
    <t>Utenti_BIM</t>
  </si>
  <si>
    <t>10.64.9.157</t>
  </si>
  <si>
    <t>MesisTEST</t>
  </si>
  <si>
    <t>10.64.20.35</t>
  </si>
  <si>
    <t>lcazodis020035.ausl6.it</t>
  </si>
  <si>
    <t>glvmmmg02</t>
  </si>
  <si>
    <t>Utenti_Mediatec</t>
  </si>
  <si>
    <t>10.64.22.80</t>
  </si>
  <si>
    <t>lpomedge022080.ausl6.it</t>
  </si>
  <si>
    <t>jrosada</t>
  </si>
  <si>
    <t>10.64.23.48</t>
  </si>
  <si>
    <t>lponeuchir07.ausl6.it</t>
  </si>
  <si>
    <t>tmenapace</t>
  </si>
  <si>
    <t>10.64.23.49</t>
  </si>
  <si>
    <t>lponeurochir08.ausl6.it</t>
  </si>
  <si>
    <t>osantonocito</t>
  </si>
  <si>
    <t>10.64.29.108</t>
  </si>
  <si>
    <t>lpoanatpat17.ausl6.it</t>
  </si>
  <si>
    <t>nvrfnc71d15h703q</t>
  </si>
  <si>
    <t>10.64.31.31</t>
  </si>
  <si>
    <t>lpotrasf031031.ausl6.it</t>
  </si>
  <si>
    <t>glpoctrasfu24</t>
  </si>
  <si>
    <t>10.64.31.64</t>
  </si>
  <si>
    <t>lpoctrasfu17.ausl6.it</t>
  </si>
  <si>
    <t>mromagnoli</t>
  </si>
  <si>
    <t>10.64.33.32</t>
  </si>
  <si>
    <t>NETASQ-CAMEN</t>
  </si>
  <si>
    <t>operatore17</t>
  </si>
  <si>
    <t>10.64.33.36</t>
  </si>
  <si>
    <t>apicchi</t>
  </si>
  <si>
    <t>cpardini</t>
  </si>
  <si>
    <t>fbrecevich</t>
  </si>
  <si>
    <t>spomposi</t>
  </si>
  <si>
    <t>10.64.35.9</t>
  </si>
  <si>
    <t>lposcuoinf05.ausl6.it</t>
  </si>
  <si>
    <t>rcaso</t>
  </si>
  <si>
    <t>10.64.35.94</t>
  </si>
  <si>
    <t>ptempestini</t>
  </si>
  <si>
    <t>10.64.35.166</t>
  </si>
  <si>
    <t>lpoareat035166.ausl6.it</t>
  </si>
  <si>
    <t>lsilvestri</t>
  </si>
  <si>
    <t>10.64.39.43</t>
  </si>
  <si>
    <t>lpomedsp025075.ausl6.it</t>
  </si>
  <si>
    <t>glpomedsport02</t>
  </si>
  <si>
    <t>Holter</t>
  </si>
  <si>
    <t>10.64.39.133</t>
  </si>
  <si>
    <t>lpoestarlp01.ausl6.it</t>
  </si>
  <si>
    <t>Giuseppe</t>
  </si>
  <si>
    <t>test</t>
  </si>
  <si>
    <t>10.64.39.227</t>
  </si>
  <si>
    <t>giuseppedipalma.ausl6.it</t>
  </si>
  <si>
    <t>GiuseppeDiPalma</t>
  </si>
  <si>
    <t>10.64.41.44</t>
  </si>
  <si>
    <t>lpoelse041044.ausl6.it</t>
  </si>
  <si>
    <t>Utenti_Elsesolutions</t>
  </si>
  <si>
    <t>10.64.41.78</t>
  </si>
  <si>
    <t>lpotemas041078.ausl6.it</t>
  </si>
  <si>
    <t>NETASQ-TemaSinergia</t>
  </si>
  <si>
    <t>10.64.50.13</t>
  </si>
  <si>
    <t>cpofarter05.ausl6.it</t>
  </si>
  <si>
    <t>Barbara Meini</t>
  </si>
  <si>
    <t>10.64.50.170</t>
  </si>
  <si>
    <t>cpoprevenz52.ausl6.it</t>
  </si>
  <si>
    <t>dcinelli</t>
  </si>
  <si>
    <t>10.64.51.35</t>
  </si>
  <si>
    <t>cpodiprp051035.ausl6.it</t>
  </si>
  <si>
    <t>ricciardi</t>
  </si>
  <si>
    <t>10.64.83.19</t>
  </si>
  <si>
    <t>casecono083019.ausl6.it</t>
  </si>
  <si>
    <t>AdminSaturno</t>
  </si>
  <si>
    <t>ppofarmosp12.ausl6.it</t>
  </si>
  <si>
    <t>10.64.237.22</t>
  </si>
  <si>
    <t>ppolaban249169.ausl6.it</t>
  </si>
  <si>
    <t>10.64.249.169</t>
  </si>
  <si>
    <t>admintmp</t>
  </si>
  <si>
    <t>ppolibprof08.ausl6.it</t>
  </si>
  <si>
    <t>10.64.227.29</t>
  </si>
  <si>
    <t>Amministratore</t>
  </si>
  <si>
    <t>ppopreve229110.ausl6.it</t>
  </si>
  <si>
    <t>10.64.229.110</t>
  </si>
  <si>
    <t>chetoni</t>
  </si>
  <si>
    <t>eltzodis146032.ausl6.it</t>
  </si>
  <si>
    <t>10.64.146.32</t>
  </si>
  <si>
    <t>consigli</t>
  </si>
  <si>
    <t>etesaspv136028.ausl6.it</t>
  </si>
  <si>
    <t>10.64.136.28</t>
  </si>
  <si>
    <t>crmsfn96l14g912c</t>
  </si>
  <si>
    <t>10.64.147.67</t>
  </si>
  <si>
    <t>gepospiro</t>
  </si>
  <si>
    <t>epopneum145030.ausl6.it</t>
  </si>
  <si>
    <t>10.64.145.30</t>
  </si>
  <si>
    <t>gepourologia</t>
  </si>
  <si>
    <t>epochamb145172.ausl6.it</t>
  </si>
  <si>
    <t>10.64.145.172</t>
  </si>
  <si>
    <t>gppolabana01</t>
  </si>
  <si>
    <t>ppolaban249034.ausl6.it</t>
  </si>
  <si>
    <t>10.64.249.34</t>
  </si>
  <si>
    <t>Guest</t>
  </si>
  <si>
    <t>ecmmentale00.ausl6.it</t>
  </si>
  <si>
    <t>10.64.145.106</t>
  </si>
  <si>
    <t>mesis</t>
  </si>
  <si>
    <t>ppotrasfus04.ausl6.it</t>
  </si>
  <si>
    <t>10.64.249.92</t>
  </si>
  <si>
    <t>mmochi</t>
  </si>
  <si>
    <t>epoginos145227.ausl6.it</t>
  </si>
  <si>
    <t>10.64.145.227</t>
  </si>
  <si>
    <t>NETASQ-spacelabs</t>
  </si>
  <si>
    <t>epodiabe145068.ausl6.it</t>
  </si>
  <si>
    <t>10.64.145.68</t>
  </si>
  <si>
    <t>scarminelli</t>
  </si>
  <si>
    <t>scorradi</t>
  </si>
  <si>
    <t>srecenti</t>
  </si>
  <si>
    <t>ppopneum228184.ausl6.it</t>
  </si>
  <si>
    <t>10.64.228.184</t>
  </si>
  <si>
    <t>tvitiello</t>
  </si>
  <si>
    <t>10.64.230.171</t>
  </si>
  <si>
    <t>Utenti_AdWeb</t>
  </si>
  <si>
    <t>pttaacot247033.ausl6.it</t>
  </si>
  <si>
    <t>10.64.247.33</t>
  </si>
  <si>
    <t>Utenti_CeamGroup</t>
  </si>
  <si>
    <t>Utenti_QuidelHorto</t>
  </si>
  <si>
    <t>Utenti_TecSan</t>
  </si>
  <si>
    <t>lpo118livo20</t>
  </si>
  <si>
    <t>lpo118livo17</t>
  </si>
  <si>
    <t>cpodirsa009134</t>
  </si>
  <si>
    <t>cpotrasfus11</t>
  </si>
  <si>
    <t>lpoareat035094</t>
  </si>
  <si>
    <t>epometis147067</t>
  </si>
  <si>
    <t>ecrchirurg01</t>
  </si>
  <si>
    <t>Motivazione</t>
  </si>
  <si>
    <t>Zona</t>
  </si>
  <si>
    <t>Gruppo Utenti ditta esterna</t>
  </si>
  <si>
    <t>DA ELIMINARE</t>
  </si>
  <si>
    <t>Gruppo Utenti ditta esterna (G.I. Viareggio)</t>
  </si>
  <si>
    <t>AREATECNICA</t>
  </si>
  <si>
    <t>Gruppo Utenti ditta esterna (Mesis)</t>
  </si>
  <si>
    <t>FISICASANITARIA (possibile autorizzazione)</t>
  </si>
  <si>
    <t>Gruppo ditta esterna</t>
  </si>
  <si>
    <t>DA ELIMINARE - utente locale-ingaggiare ditta</t>
  </si>
  <si>
    <t>DA ELIMINARE- ingaggiare ditta per funzionamento HOLTER</t>
  </si>
  <si>
    <t xml:space="preserve">DA ELIMINARE-ingaggiato-entro 7.8 rimozione admin </t>
  </si>
  <si>
    <t>Situazione</t>
  </si>
  <si>
    <t>ok</t>
  </si>
  <si>
    <t>AREATECNICA-Eliminare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</si>
</sst>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7">
    <xf numFmtId="0" fontId="0" fillId="0" borderId="0" xfId="0"/>
    <xf numFmtId="0" fontId="2" fillId="3" borderId="0" xfId="2"/>
    <xf numFmtId="0" fontId="3" fillId="4" borderId="1" xfId="3"/>
    <xf numFmtId="0" fontId="3" fillId="4" borderId="0" xfId="3" applyBorder="1"/>
    <xf numFmtId="0" fontId="2" fillId="3" borderId="1" xfId="2" applyBorder="1"/>
    <xf numFmtId="0" fontId="1" fillId="2" borderId="0" xfId="1"/>
    <xf numFmtId="0" fontId="1" fillId="2" borderId="1" xfId="1" applyBorder="1"/>
  </cellXfs>
  <cellStyles count="4">
    <cellStyle name="Input" xfId="3" builtinId="20"/>
    <cellStyle name="Normale" xfId="0" builtinId="0"/>
    <cellStyle name="Valore non valido" xfId="2" builtinId="27"/>
    <cellStyle name="Valore valido" xfId="1" builtinId="26"/>
  </cellStyles>
  <dxfs count="2">
    <dxf>
      <numFmt numFmtId="0" formatCode="General"/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F1A12F-66FD-45AE-A7E7-A52A8EE8B3A6}" name="Tabella1" displayName="Tabella1" ref="A1:F59" totalsRowShown="0">
  <autoFilter ref="A1:F59" xr:uid="{11F1A12F-66FD-45AE-A7E7-A52A8EE8B3A6}">
    <filterColumn colId="4">
      <filters>
        <filter val="Livorno"/>
      </filters>
    </filterColumn>
  </autoFilter>
  <sortState xmlns:xlrd2="http://schemas.microsoft.com/office/spreadsheetml/2017/richdata2" ref="A13:E56">
    <sortCondition sortBy="cellColor" ref="D1:D59" dxfId="1"/>
  </sortState>
  <tableColumns count="6">
    <tableColumn id="1" xr3:uid="{CF052621-E032-41A9-9020-E98E5684071F}" name="Indirizzo IP"/>
    <tableColumn id="2" xr3:uid="{527EBDB7-E518-445A-A829-F8238A7B2080}" name="Nome DNS"/>
    <tableColumn id="3" xr3:uid="{60D02768-4814-4F3E-AA93-7473B1080482}" name="Utente"/>
    <tableColumn id="4" xr3:uid="{A923EEE3-1459-452B-B88E-FE64E457532F}" name="Motivazione"/>
    <tableColumn id="5" xr3:uid="{3CB2A3E0-EBC2-4B0F-AB3C-80EA03BE341F}" name="Zona" dataDxfId="0">
      <calculatedColumnFormula>IF(UPPER(LEFT(B2,1))="L","Livorno",IF(UPPER(LEFT(B2,1))="C","Cecina",IF(UPPER(LEFT(B2,1))="P","Piombino",IF(UPPER(LEFT(B2,1))="E","Elba",""))))</calculatedColumnFormula>
    </tableColumn>
    <tableColumn id="6" xr3:uid="{26A39C51-C003-4DE3-B8E5-A1DD954B0B9B}" name="Situazion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D2E3C-6254-4053-BCDA-AFFAA4926621}">
  <dimension ref="A1:F59"/>
  <sheetViews>
    <sheetView tabSelected="1" workbookViewId="0">
      <selection activeCell="D56" sqref="D56"/>
    </sheetView>
  </sheetViews>
  <sheetFormatPr defaultRowHeight="14.5" x14ac:dyDescent="0.35"/>
  <cols>
    <col min="1" max="1" width="27.6328125" customWidth="1"/>
    <col min="2" max="2" width="44.1796875" customWidth="1"/>
    <col min="3" max="3" width="30.6328125" customWidth="1"/>
    <col min="4" max="4" width="52.6328125" customWidth="1"/>
    <col min="5" max="5" width="25.7265625" customWidth="1"/>
    <col min="6" max="6" width="11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151</v>
      </c>
      <c r="E1" t="s">
        <v>152</v>
      </c>
      <c r="F1" t="s">
        <v>163</v>
      </c>
    </row>
    <row r="2" spans="1:6" hidden="1" x14ac:dyDescent="0.35">
      <c r="A2" t="s">
        <v>140</v>
      </c>
      <c r="B2" t="s">
        <v>139</v>
      </c>
      <c r="C2" t="s">
        <v>138</v>
      </c>
      <c r="E2" t="str">
        <f t="shared" ref="E2:E33" si="0">IF(UPPER(LEFT(B2,1))="L","Livorno",IF(UPPER(LEFT(B2,1))="C","Cecina",IF(UPPER(LEFT(B2,1))="P","Piombino",IF(UPPER(LEFT(B2,1))="E","Elba",""))))</f>
        <v>Piombino</v>
      </c>
    </row>
    <row r="3" spans="1:6" hidden="1" x14ac:dyDescent="0.35">
      <c r="A3" t="s">
        <v>124</v>
      </c>
      <c r="B3" t="s">
        <v>123</v>
      </c>
      <c r="C3" t="s">
        <v>122</v>
      </c>
      <c r="E3" t="str">
        <f t="shared" si="0"/>
        <v>Piombino</v>
      </c>
    </row>
    <row r="4" spans="1:6" hidden="1" x14ac:dyDescent="0.35">
      <c r="A4" t="s">
        <v>124</v>
      </c>
      <c r="B4" t="s">
        <v>123</v>
      </c>
      <c r="C4" t="s">
        <v>141</v>
      </c>
      <c r="E4" t="str">
        <f t="shared" si="0"/>
        <v>Piombino</v>
      </c>
    </row>
    <row r="5" spans="1:6" hidden="1" x14ac:dyDescent="0.35">
      <c r="A5" t="s">
        <v>124</v>
      </c>
      <c r="B5" t="s">
        <v>123</v>
      </c>
      <c r="C5" t="s">
        <v>142</v>
      </c>
      <c r="E5" t="str">
        <f t="shared" si="0"/>
        <v>Piombino</v>
      </c>
    </row>
    <row r="6" spans="1:6" hidden="1" x14ac:dyDescent="0.35">
      <c r="A6" t="s">
        <v>101</v>
      </c>
      <c r="B6" t="s">
        <v>100</v>
      </c>
      <c r="C6" t="s">
        <v>99</v>
      </c>
      <c r="E6" t="str">
        <f t="shared" si="0"/>
        <v>Piombino</v>
      </c>
    </row>
    <row r="7" spans="1:6" hidden="1" x14ac:dyDescent="0.35">
      <c r="A7" t="s">
        <v>135</v>
      </c>
      <c r="B7" t="s">
        <v>134</v>
      </c>
      <c r="C7" t="s">
        <v>133</v>
      </c>
      <c r="E7" t="str">
        <f t="shared" si="0"/>
        <v>Piombino</v>
      </c>
    </row>
    <row r="8" spans="1:6" hidden="1" x14ac:dyDescent="0.35">
      <c r="A8" t="s">
        <v>98</v>
      </c>
      <c r="B8" t="s">
        <v>97</v>
      </c>
      <c r="C8" t="s">
        <v>96</v>
      </c>
      <c r="E8" t="str">
        <f t="shared" si="0"/>
        <v>Piombino</v>
      </c>
    </row>
    <row r="9" spans="1:6" hidden="1" x14ac:dyDescent="0.35">
      <c r="A9" t="s">
        <v>95</v>
      </c>
      <c r="B9" t="s">
        <v>94</v>
      </c>
      <c r="C9" t="s">
        <v>5</v>
      </c>
      <c r="E9" t="str">
        <f t="shared" si="0"/>
        <v>Piombino</v>
      </c>
    </row>
    <row r="10" spans="1:6" hidden="1" x14ac:dyDescent="0.35">
      <c r="A10" t="s">
        <v>95</v>
      </c>
      <c r="B10" t="s">
        <v>94</v>
      </c>
      <c r="C10" t="s">
        <v>132</v>
      </c>
      <c r="E10" t="str">
        <f t="shared" si="0"/>
        <v>Piombino</v>
      </c>
    </row>
    <row r="11" spans="1:6" hidden="1" x14ac:dyDescent="0.35">
      <c r="A11" t="s">
        <v>118</v>
      </c>
      <c r="B11" t="s">
        <v>117</v>
      </c>
      <c r="C11" t="s">
        <v>116</v>
      </c>
      <c r="E11" t="str">
        <f t="shared" si="0"/>
        <v>Piombino</v>
      </c>
    </row>
    <row r="12" spans="1:6" hidden="1" x14ac:dyDescent="0.35">
      <c r="A12" t="s">
        <v>93</v>
      </c>
      <c r="B12" t="s">
        <v>92</v>
      </c>
      <c r="C12" t="s">
        <v>91</v>
      </c>
      <c r="E12" t="str">
        <f t="shared" si="0"/>
        <v>Piombino</v>
      </c>
    </row>
    <row r="13" spans="1:6" x14ac:dyDescent="0.35">
      <c r="A13" s="5" t="s">
        <v>77</v>
      </c>
      <c r="B13" s="5" t="s">
        <v>78</v>
      </c>
      <c r="C13" s="5" t="s">
        <v>79</v>
      </c>
      <c r="D13" s="5" t="s">
        <v>159</v>
      </c>
      <c r="E13" s="5" t="str">
        <f t="shared" si="0"/>
        <v>Livorno</v>
      </c>
      <c r="F13" t="s">
        <v>164</v>
      </c>
    </row>
    <row r="14" spans="1:6" x14ac:dyDescent="0.35">
      <c r="A14" s="5" t="s">
        <v>3</v>
      </c>
      <c r="B14" s="5" t="s">
        <v>4</v>
      </c>
      <c r="C14" s="5" t="s">
        <v>5</v>
      </c>
      <c r="D14" s="5" t="s">
        <v>153</v>
      </c>
      <c r="E14" s="5" t="str">
        <f t="shared" si="0"/>
        <v>Livorno</v>
      </c>
      <c r="F14" t="s">
        <v>164</v>
      </c>
    </row>
    <row r="15" spans="1:6" x14ac:dyDescent="0.35">
      <c r="A15" s="6" t="s">
        <v>74</v>
      </c>
      <c r="B15" s="6" t="s">
        <v>75</v>
      </c>
      <c r="C15" s="6" t="s">
        <v>76</v>
      </c>
      <c r="D15" s="6" t="s">
        <v>153</v>
      </c>
      <c r="E15" s="6" t="str">
        <f t="shared" si="0"/>
        <v>Livorno</v>
      </c>
      <c r="F15" t="s">
        <v>164</v>
      </c>
    </row>
    <row r="16" spans="1:6" x14ac:dyDescent="0.35">
      <c r="A16" s="5" t="s">
        <v>44</v>
      </c>
      <c r="B16" s="5" t="s">
        <v>45</v>
      </c>
      <c r="C16" s="5" t="s">
        <v>46</v>
      </c>
      <c r="D16" s="5" t="s">
        <v>157</v>
      </c>
      <c r="E16" s="5" t="str">
        <f t="shared" si="0"/>
        <v>Livorno</v>
      </c>
      <c r="F16" t="s">
        <v>164</v>
      </c>
    </row>
    <row r="17" spans="1:6" x14ac:dyDescent="0.35">
      <c r="A17" s="5" t="s">
        <v>38</v>
      </c>
      <c r="B17" s="5" t="s">
        <v>39</v>
      </c>
      <c r="C17" s="5" t="s">
        <v>40</v>
      </c>
      <c r="D17" s="5" t="s">
        <v>155</v>
      </c>
      <c r="E17" s="5" t="str">
        <f t="shared" si="0"/>
        <v>Livorno</v>
      </c>
      <c r="F17" t="s">
        <v>164</v>
      </c>
    </row>
    <row r="18" spans="1:6" x14ac:dyDescent="0.35">
      <c r="A18" s="5" t="s">
        <v>50</v>
      </c>
      <c r="B18" s="5" t="s">
        <v>144</v>
      </c>
      <c r="C18" s="5" t="s">
        <v>51</v>
      </c>
      <c r="D18" s="5" t="s">
        <v>155</v>
      </c>
      <c r="E18" s="5" t="str">
        <f t="shared" si="0"/>
        <v>Livorno</v>
      </c>
      <c r="F18" t="s">
        <v>164</v>
      </c>
    </row>
    <row r="19" spans="1:6" x14ac:dyDescent="0.35">
      <c r="A19" s="5" t="s">
        <v>50</v>
      </c>
      <c r="B19" s="5" t="s">
        <v>144</v>
      </c>
      <c r="C19" s="5" t="s">
        <v>52</v>
      </c>
      <c r="D19" s="5" t="s">
        <v>155</v>
      </c>
      <c r="E19" s="5" t="str">
        <f t="shared" si="0"/>
        <v>Livorno</v>
      </c>
      <c r="F19" t="s">
        <v>164</v>
      </c>
    </row>
    <row r="20" spans="1:6" x14ac:dyDescent="0.35">
      <c r="A20" s="5" t="s">
        <v>50</v>
      </c>
      <c r="B20" s="5" t="s">
        <v>144</v>
      </c>
      <c r="C20" s="5" t="s">
        <v>53</v>
      </c>
      <c r="D20" s="5" t="s">
        <v>155</v>
      </c>
      <c r="E20" s="5" t="str">
        <f t="shared" si="0"/>
        <v>Livorno</v>
      </c>
      <c r="F20" t="s">
        <v>164</v>
      </c>
    </row>
    <row r="21" spans="1:6" x14ac:dyDescent="0.35">
      <c r="A21" s="5" t="s">
        <v>50</v>
      </c>
      <c r="B21" s="5" t="s">
        <v>144</v>
      </c>
      <c r="C21" s="5" t="s">
        <v>54</v>
      </c>
      <c r="D21" s="5" t="s">
        <v>155</v>
      </c>
      <c r="E21" s="5" t="str">
        <f t="shared" si="0"/>
        <v>Livorno</v>
      </c>
      <c r="F21" t="s">
        <v>164</v>
      </c>
    </row>
    <row r="22" spans="1:6" x14ac:dyDescent="0.35">
      <c r="A22" s="6" t="s">
        <v>47</v>
      </c>
      <c r="B22" s="6" t="s">
        <v>145</v>
      </c>
      <c r="C22" s="6" t="s">
        <v>48</v>
      </c>
      <c r="D22" s="6" t="s">
        <v>153</v>
      </c>
      <c r="E22" s="6" t="str">
        <f t="shared" si="0"/>
        <v>Livorno</v>
      </c>
      <c r="F22" t="s">
        <v>164</v>
      </c>
    </row>
    <row r="23" spans="1:6" x14ac:dyDescent="0.35">
      <c r="A23" s="6" t="s">
        <v>6</v>
      </c>
      <c r="B23" s="6" t="s">
        <v>7</v>
      </c>
      <c r="C23" s="6" t="s">
        <v>8</v>
      </c>
      <c r="D23" s="6" t="s">
        <v>153</v>
      </c>
      <c r="E23" s="6" t="str">
        <f t="shared" si="0"/>
        <v>Livorno</v>
      </c>
      <c r="F23" t="s">
        <v>164</v>
      </c>
    </row>
    <row r="24" spans="1:6" x14ac:dyDescent="0.35">
      <c r="A24" s="5" t="s">
        <v>25</v>
      </c>
      <c r="B24" s="5" t="s">
        <v>26</v>
      </c>
      <c r="C24" s="5" t="s">
        <v>28</v>
      </c>
      <c r="D24" s="5" t="s">
        <v>153</v>
      </c>
      <c r="E24" s="5" t="str">
        <f t="shared" si="0"/>
        <v>Livorno</v>
      </c>
      <c r="F24" t="s">
        <v>164</v>
      </c>
    </row>
    <row r="25" spans="1:6" x14ac:dyDescent="0.35">
      <c r="A25" s="5" t="s">
        <v>41</v>
      </c>
      <c r="B25" s="5" t="s">
        <v>42</v>
      </c>
      <c r="C25" s="5" t="s">
        <v>43</v>
      </c>
      <c r="D25" s="1" t="s">
        <v>154</v>
      </c>
      <c r="E25" s="5" t="str">
        <f t="shared" si="0"/>
        <v>Livorno</v>
      </c>
      <c r="F25" t="s">
        <v>164</v>
      </c>
    </row>
    <row r="26" spans="1:6" x14ac:dyDescent="0.35">
      <c r="A26" s="3" t="s">
        <v>55</v>
      </c>
      <c r="B26" s="3" t="s">
        <v>56</v>
      </c>
      <c r="C26" s="3" t="s">
        <v>57</v>
      </c>
      <c r="D26" s="3" t="s">
        <v>165</v>
      </c>
      <c r="E26" s="3" t="str">
        <f t="shared" si="0"/>
        <v>Livorno</v>
      </c>
    </row>
    <row r="27" spans="1:6" x14ac:dyDescent="0.35">
      <c r="A27" s="5" t="s">
        <v>35</v>
      </c>
      <c r="B27" s="5" t="s">
        <v>36</v>
      </c>
      <c r="C27" s="5" t="s">
        <v>37</v>
      </c>
      <c r="D27" s="1" t="s">
        <v>154</v>
      </c>
      <c r="E27" s="5" t="str">
        <f t="shared" si="0"/>
        <v>Livorno</v>
      </c>
      <c r="F27" t="s">
        <v>164</v>
      </c>
    </row>
    <row r="28" spans="1:6" x14ac:dyDescent="0.35">
      <c r="A28" s="6" t="s">
        <v>32</v>
      </c>
      <c r="B28" s="6" t="s">
        <v>33</v>
      </c>
      <c r="C28" s="6" t="s">
        <v>34</v>
      </c>
      <c r="D28" s="4" t="s">
        <v>154</v>
      </c>
      <c r="E28" s="6" t="str">
        <f t="shared" si="0"/>
        <v>Livorno</v>
      </c>
      <c r="F28" t="s">
        <v>164</v>
      </c>
    </row>
    <row r="29" spans="1:6" x14ac:dyDescent="0.35">
      <c r="A29" s="1" t="s">
        <v>63</v>
      </c>
      <c r="B29" s="1" t="s">
        <v>64</v>
      </c>
      <c r="C29" s="1" t="s">
        <v>65</v>
      </c>
      <c r="D29" s="1" t="s">
        <v>161</v>
      </c>
      <c r="E29" s="1" t="str">
        <f t="shared" si="0"/>
        <v>Livorno</v>
      </c>
    </row>
    <row r="30" spans="1:6" x14ac:dyDescent="0.35">
      <c r="A30" s="1" t="s">
        <v>63</v>
      </c>
      <c r="B30" s="1" t="s">
        <v>64</v>
      </c>
      <c r="C30" s="1" t="s">
        <v>66</v>
      </c>
      <c r="D30" s="1" t="s">
        <v>160</v>
      </c>
      <c r="E30" s="1" t="str">
        <f t="shared" si="0"/>
        <v>Livorno</v>
      </c>
    </row>
    <row r="31" spans="1:6" x14ac:dyDescent="0.35">
      <c r="A31" s="5" t="s">
        <v>29</v>
      </c>
      <c r="B31" s="5" t="s">
        <v>30</v>
      </c>
      <c r="C31" s="5" t="s">
        <v>31</v>
      </c>
      <c r="D31" s="1" t="s">
        <v>154</v>
      </c>
      <c r="E31" s="5" t="str">
        <f t="shared" si="0"/>
        <v>Livorno</v>
      </c>
      <c r="F31" t="s">
        <v>164</v>
      </c>
    </row>
    <row r="32" spans="1:6" x14ac:dyDescent="0.35">
      <c r="A32" s="3" t="s">
        <v>12</v>
      </c>
      <c r="B32" s="3" t="s">
        <v>13</v>
      </c>
      <c r="C32" s="3" t="s">
        <v>14</v>
      </c>
      <c r="D32" s="3" t="s">
        <v>158</v>
      </c>
      <c r="E32" s="3" t="str">
        <f t="shared" si="0"/>
        <v>Livorno</v>
      </c>
    </row>
    <row r="33" spans="1:6" x14ac:dyDescent="0.35">
      <c r="A33" s="3" t="s">
        <v>9</v>
      </c>
      <c r="B33" s="3" t="s">
        <v>10</v>
      </c>
      <c r="C33" s="3" t="s">
        <v>11</v>
      </c>
      <c r="D33" s="3" t="s">
        <v>158</v>
      </c>
      <c r="E33" s="3" t="str">
        <f t="shared" si="0"/>
        <v>Livorno</v>
      </c>
    </row>
    <row r="34" spans="1:6" x14ac:dyDescent="0.35">
      <c r="A34" s="1" t="s">
        <v>67</v>
      </c>
      <c r="B34" s="1" t="s">
        <v>68</v>
      </c>
      <c r="C34" s="1" t="s">
        <v>69</v>
      </c>
      <c r="D34" s="1" t="s">
        <v>162</v>
      </c>
      <c r="E34" s="1" t="str">
        <f t="shared" ref="E34:E59" si="1">IF(UPPER(LEFT(B34,1))="L","Livorno",IF(UPPER(LEFT(B34,1))="C","Cecina",IF(UPPER(LEFT(B34,1))="P","Piombino",IF(UPPER(LEFT(B34,1))="E","Elba",""))))</f>
        <v>Livorno</v>
      </c>
    </row>
    <row r="35" spans="1:6" x14ac:dyDescent="0.35">
      <c r="A35" s="1" t="s">
        <v>67</v>
      </c>
      <c r="B35" s="1" t="s">
        <v>68</v>
      </c>
      <c r="C35" s="1" t="s">
        <v>70</v>
      </c>
      <c r="D35" s="1" t="s">
        <v>162</v>
      </c>
      <c r="E35" s="1" t="str">
        <f t="shared" si="1"/>
        <v>Livorno</v>
      </c>
    </row>
    <row r="36" spans="1:6" x14ac:dyDescent="0.35">
      <c r="A36" s="3" t="s">
        <v>60</v>
      </c>
      <c r="B36" s="3" t="s">
        <v>61</v>
      </c>
      <c r="C36" s="3" t="s">
        <v>62</v>
      </c>
      <c r="D36" s="3" t="s">
        <v>156</v>
      </c>
      <c r="E36" s="3" t="str">
        <f t="shared" si="1"/>
        <v>Livorno</v>
      </c>
    </row>
    <row r="37" spans="1:6" x14ac:dyDescent="0.35">
      <c r="A37" s="5" t="s">
        <v>47</v>
      </c>
      <c r="B37" s="5" t="s">
        <v>145</v>
      </c>
      <c r="C37" s="5" t="s">
        <v>49</v>
      </c>
      <c r="D37" s="1" t="s">
        <v>154</v>
      </c>
      <c r="E37" s="5" t="str">
        <f t="shared" si="1"/>
        <v>Livorno</v>
      </c>
      <c r="F37" t="s">
        <v>164</v>
      </c>
    </row>
    <row r="38" spans="1:6" x14ac:dyDescent="0.35">
      <c r="A38" s="5" t="s">
        <v>25</v>
      </c>
      <c r="B38" s="5" t="s">
        <v>26</v>
      </c>
      <c r="C38" s="5" t="s">
        <v>27</v>
      </c>
      <c r="D38" s="1" t="s">
        <v>154</v>
      </c>
      <c r="E38" s="5" t="str">
        <f t="shared" si="1"/>
        <v>Livorno</v>
      </c>
      <c r="F38" t="s">
        <v>164</v>
      </c>
    </row>
    <row r="39" spans="1:6" hidden="1" x14ac:dyDescent="0.35">
      <c r="A39" s="1" t="s">
        <v>71</v>
      </c>
      <c r="B39" s="1" t="s">
        <v>72</v>
      </c>
      <c r="C39" s="1" t="s">
        <v>73</v>
      </c>
      <c r="D39" s="1" t="s">
        <v>154</v>
      </c>
      <c r="E39" s="1" t="str">
        <f t="shared" si="1"/>
        <v/>
      </c>
    </row>
    <row r="40" spans="1:6" hidden="1" x14ac:dyDescent="0.35">
      <c r="A40" t="s">
        <v>107</v>
      </c>
      <c r="B40" t="s">
        <v>106</v>
      </c>
      <c r="C40" t="s">
        <v>105</v>
      </c>
      <c r="E40" t="str">
        <f t="shared" si="1"/>
        <v>Elba</v>
      </c>
    </row>
    <row r="41" spans="1:6" hidden="1" x14ac:dyDescent="0.35">
      <c r="A41" t="s">
        <v>112</v>
      </c>
      <c r="B41" t="s">
        <v>111</v>
      </c>
      <c r="C41" t="s">
        <v>110</v>
      </c>
      <c r="E41" t="str">
        <f t="shared" si="1"/>
        <v>Elba</v>
      </c>
    </row>
    <row r="42" spans="1:6" hidden="1" x14ac:dyDescent="0.35">
      <c r="A42" t="s">
        <v>127</v>
      </c>
      <c r="B42" t="s">
        <v>126</v>
      </c>
      <c r="C42" t="s">
        <v>125</v>
      </c>
      <c r="E42" t="str">
        <f t="shared" si="1"/>
        <v>Elba</v>
      </c>
    </row>
    <row r="43" spans="1:6" hidden="1" x14ac:dyDescent="0.35">
      <c r="A43" t="s">
        <v>130</v>
      </c>
      <c r="B43" t="s">
        <v>129</v>
      </c>
      <c r="C43" t="s">
        <v>128</v>
      </c>
      <c r="E43" t="str">
        <f t="shared" si="1"/>
        <v>Elba</v>
      </c>
    </row>
    <row r="44" spans="1:6" hidden="1" x14ac:dyDescent="0.35">
      <c r="A44" t="s">
        <v>130</v>
      </c>
      <c r="B44" t="s">
        <v>129</v>
      </c>
      <c r="C44" t="s">
        <v>143</v>
      </c>
      <c r="E44" t="str">
        <f t="shared" si="1"/>
        <v>Elba</v>
      </c>
    </row>
    <row r="45" spans="1:6" hidden="1" x14ac:dyDescent="0.35">
      <c r="A45" t="s">
        <v>115</v>
      </c>
      <c r="B45" t="s">
        <v>114</v>
      </c>
      <c r="C45" t="s">
        <v>113</v>
      </c>
      <c r="E45" t="str">
        <f t="shared" si="1"/>
        <v>Elba</v>
      </c>
    </row>
    <row r="46" spans="1:6" hidden="1" x14ac:dyDescent="0.35">
      <c r="A46" t="s">
        <v>104</v>
      </c>
      <c r="B46" t="s">
        <v>103</v>
      </c>
      <c r="C46" t="s">
        <v>102</v>
      </c>
      <c r="E46" t="str">
        <f t="shared" si="1"/>
        <v>Elba</v>
      </c>
    </row>
    <row r="47" spans="1:6" hidden="1" x14ac:dyDescent="0.35">
      <c r="A47" t="s">
        <v>121</v>
      </c>
      <c r="B47" t="s">
        <v>120</v>
      </c>
      <c r="C47" t="s">
        <v>119</v>
      </c>
      <c r="E47" t="str">
        <f t="shared" si="1"/>
        <v>Elba</v>
      </c>
    </row>
    <row r="48" spans="1:6" hidden="1" x14ac:dyDescent="0.35">
      <c r="A48" t="s">
        <v>18</v>
      </c>
      <c r="B48" t="s">
        <v>19</v>
      </c>
      <c r="C48" t="s">
        <v>20</v>
      </c>
      <c r="E48" t="str">
        <f t="shared" si="1"/>
        <v>Cecina</v>
      </c>
    </row>
    <row r="49" spans="1:5" hidden="1" x14ac:dyDescent="0.35">
      <c r="A49" t="s">
        <v>83</v>
      </c>
      <c r="B49" t="s">
        <v>84</v>
      </c>
      <c r="C49" t="s">
        <v>85</v>
      </c>
      <c r="E49" t="str">
        <f t="shared" si="1"/>
        <v>Cecina</v>
      </c>
    </row>
    <row r="50" spans="1:5" hidden="1" x14ac:dyDescent="0.35">
      <c r="A50" t="s">
        <v>15</v>
      </c>
      <c r="B50" t="s">
        <v>16</v>
      </c>
      <c r="C50" t="s">
        <v>17</v>
      </c>
      <c r="E50" t="str">
        <f t="shared" si="1"/>
        <v>Cecina</v>
      </c>
    </row>
    <row r="51" spans="1:5" hidden="1" x14ac:dyDescent="0.35">
      <c r="A51" t="s">
        <v>80</v>
      </c>
      <c r="B51" t="s">
        <v>81</v>
      </c>
      <c r="C51" t="s">
        <v>82</v>
      </c>
      <c r="E51" t="str">
        <f t="shared" si="1"/>
        <v>Cecina</v>
      </c>
    </row>
    <row r="52" spans="1:5" hidden="1" x14ac:dyDescent="0.35">
      <c r="A52" t="s">
        <v>86</v>
      </c>
      <c r="B52" t="s">
        <v>87</v>
      </c>
      <c r="C52" t="s">
        <v>88</v>
      </c>
      <c r="E52" t="str">
        <f t="shared" si="1"/>
        <v>Cecina</v>
      </c>
    </row>
    <row r="53" spans="1:5" hidden="1" x14ac:dyDescent="0.35">
      <c r="A53" t="s">
        <v>89</v>
      </c>
      <c r="B53" t="s">
        <v>90</v>
      </c>
      <c r="C53" t="s">
        <v>2</v>
      </c>
      <c r="E53" t="str">
        <f t="shared" si="1"/>
        <v>Cecina</v>
      </c>
    </row>
    <row r="54" spans="1:5" hidden="1" x14ac:dyDescent="0.35">
      <c r="A54" t="s">
        <v>21</v>
      </c>
      <c r="B54" t="s">
        <v>146</v>
      </c>
      <c r="C54" t="s">
        <v>22</v>
      </c>
      <c r="E54" t="str">
        <f t="shared" si="1"/>
        <v>Cecina</v>
      </c>
    </row>
    <row r="55" spans="1:5" hidden="1" x14ac:dyDescent="0.35">
      <c r="A55" t="s">
        <v>23</v>
      </c>
      <c r="B55" t="s">
        <v>147</v>
      </c>
      <c r="C55" t="s">
        <v>24</v>
      </c>
      <c r="E55" t="str">
        <f t="shared" si="1"/>
        <v>Cecina</v>
      </c>
    </row>
    <row r="56" spans="1:5" x14ac:dyDescent="0.35">
      <c r="A56" s="2" t="s">
        <v>58</v>
      </c>
      <c r="B56" s="2" t="s">
        <v>148</v>
      </c>
      <c r="C56" s="2" t="s">
        <v>59</v>
      </c>
      <c r="D56" s="3" t="s">
        <v>165</v>
      </c>
      <c r="E56" s="2" t="str">
        <f t="shared" si="1"/>
        <v>Livorno</v>
      </c>
    </row>
    <row r="57" spans="1:5" hidden="1" x14ac:dyDescent="0.35">
      <c r="A57" t="s">
        <v>109</v>
      </c>
      <c r="B57" t="s">
        <v>149</v>
      </c>
      <c r="C57" t="s">
        <v>108</v>
      </c>
      <c r="E57" t="str">
        <f t="shared" si="1"/>
        <v>Elba</v>
      </c>
    </row>
    <row r="58" spans="1:5" hidden="1" x14ac:dyDescent="0.35">
      <c r="A58" t="s">
        <v>109</v>
      </c>
      <c r="B58" t="s">
        <v>149</v>
      </c>
      <c r="C58" t="s">
        <v>131</v>
      </c>
      <c r="E58" t="str">
        <f t="shared" si="1"/>
        <v>Elba</v>
      </c>
    </row>
    <row r="59" spans="1:5" hidden="1" x14ac:dyDescent="0.35">
      <c r="A59" t="s">
        <v>137</v>
      </c>
      <c r="B59" t="s">
        <v>150</v>
      </c>
      <c r="C59" t="s">
        <v>136</v>
      </c>
      <c r="E59" t="str">
        <f t="shared" si="1"/>
        <v>Elba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2026-07-29T13:19:13Z</dcterms:created>
  <dcterms:modified xsi:type="dcterms:W3CDTF">2026-08-18T09:20:05Z</dcterms:modified>
</cp:coreProperties>
</file>